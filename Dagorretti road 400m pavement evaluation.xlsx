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 &amp;D\"/>
    </mc:Choice>
  </mc:AlternateContent>
  <xr:revisionPtr revIDLastSave="0" documentId="13_ncr:1_{5CCED60E-74E4-43E5-A337-E95A3A8E8C5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 COLLECTION SHEET" sheetId="1" r:id="rId1"/>
    <sheet name="RA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2" l="1"/>
  <c r="R10" i="2"/>
  <c r="R7" i="2"/>
  <c r="R4" i="2"/>
  <c r="P12" i="2"/>
  <c r="Q10" i="2" s="1"/>
  <c r="P9" i="2"/>
  <c r="Q7" i="2" s="1"/>
  <c r="P6" i="2"/>
  <c r="Q4" i="2" s="1"/>
  <c r="N15" i="2"/>
  <c r="E15" i="2"/>
  <c r="F15" i="2"/>
  <c r="G15" i="2"/>
  <c r="P15" i="2" s="1"/>
  <c r="Q13" i="2" s="1"/>
  <c r="H15" i="2"/>
  <c r="I15" i="2"/>
  <c r="J15" i="2"/>
  <c r="K15" i="2"/>
  <c r="L15" i="2"/>
  <c r="M15" i="2"/>
  <c r="D15" i="2"/>
  <c r="E12" i="2"/>
  <c r="F12" i="2"/>
  <c r="G12" i="2"/>
  <c r="H12" i="2"/>
  <c r="I12" i="2"/>
  <c r="J12" i="2"/>
  <c r="K12" i="2"/>
  <c r="L12" i="2"/>
  <c r="M12" i="2"/>
  <c r="N12" i="2"/>
  <c r="D12" i="2"/>
  <c r="K6" i="2"/>
  <c r="L6" i="2"/>
  <c r="M6" i="2"/>
  <c r="N6" i="2"/>
  <c r="E9" i="2"/>
  <c r="F9" i="2"/>
  <c r="G9" i="2"/>
  <c r="H9" i="2"/>
  <c r="I9" i="2"/>
  <c r="J9" i="2"/>
  <c r="K9" i="2"/>
  <c r="L9" i="2"/>
  <c r="M9" i="2"/>
  <c r="N9" i="2"/>
  <c r="D9" i="2"/>
  <c r="G6" i="2"/>
  <c r="H6" i="2"/>
  <c r="I6" i="2"/>
  <c r="J6" i="2"/>
  <c r="F6" i="2"/>
  <c r="E6" i="2"/>
  <c r="D6" i="2"/>
</calcChain>
</file>

<file path=xl/sharedStrings.xml><?xml version="1.0" encoding="utf-8"?>
<sst xmlns="http://schemas.openxmlformats.org/spreadsheetml/2006/main" count="143" uniqueCount="59">
  <si>
    <t>Section</t>
  </si>
  <si>
    <t>0-100</t>
  </si>
  <si>
    <t>100-200</t>
  </si>
  <si>
    <t>200-300</t>
  </si>
  <si>
    <t>300-400</t>
  </si>
  <si>
    <t>Edge failure</t>
  </si>
  <si>
    <t>Rating</t>
  </si>
  <si>
    <t>Severity</t>
  </si>
  <si>
    <t>Extent</t>
  </si>
  <si>
    <t>Location</t>
  </si>
  <si>
    <t>Photo</t>
  </si>
  <si>
    <t>Drainage</t>
  </si>
  <si>
    <t>Rutting</t>
  </si>
  <si>
    <t>Potholes</t>
  </si>
  <si>
    <t>Alligator Cracks</t>
  </si>
  <si>
    <t>Ravelling</t>
  </si>
  <si>
    <t>Long. Cracks</t>
  </si>
  <si>
    <t>Refective Cracks</t>
  </si>
  <si>
    <t>Patching</t>
  </si>
  <si>
    <t>Moderate</t>
  </si>
  <si>
    <t>100m</t>
  </si>
  <si>
    <t>RHS</t>
  </si>
  <si>
    <t>To be attached</t>
  </si>
  <si>
    <t>Severe</t>
  </si>
  <si>
    <t>50m</t>
  </si>
  <si>
    <t>RHS wheel</t>
  </si>
  <si>
    <t>15mm</t>
  </si>
  <si>
    <t>40m</t>
  </si>
  <si>
    <t>100mm depth</t>
  </si>
  <si>
    <t>6m*2.5m</t>
  </si>
  <si>
    <t>3mm, moderate</t>
  </si>
  <si>
    <t>10m2</t>
  </si>
  <si>
    <t>LHS</t>
  </si>
  <si>
    <t>3M*10M</t>
  </si>
  <si>
    <t>3M*20M</t>
  </si>
  <si>
    <t>30m</t>
  </si>
  <si>
    <t>outer wheel</t>
  </si>
  <si>
    <t>Severe , 3mm</t>
  </si>
  <si>
    <t>3m</t>
  </si>
  <si>
    <t>2mm</t>
  </si>
  <si>
    <t>3m* 30m</t>
  </si>
  <si>
    <t>Transverse cracks</t>
  </si>
  <si>
    <t>20m</t>
  </si>
  <si>
    <t>20m*0.5m</t>
  </si>
  <si>
    <t>1-3mm</t>
  </si>
  <si>
    <t xml:space="preserve">2M </t>
  </si>
  <si>
    <t>Overall rating</t>
  </si>
  <si>
    <t>Road Section</t>
  </si>
  <si>
    <t>Length (M)</t>
  </si>
  <si>
    <t>Defects and Deteriorations</t>
  </si>
  <si>
    <t>Combined rating index</t>
  </si>
  <si>
    <t>Surface Patching</t>
  </si>
  <si>
    <t>Shoulder drop off</t>
  </si>
  <si>
    <t>PCI Max</t>
  </si>
  <si>
    <t>SCR</t>
  </si>
  <si>
    <t>I average</t>
  </si>
  <si>
    <t>PCI</t>
  </si>
  <si>
    <t>Defects Indices</t>
  </si>
  <si>
    <t>Photo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</si>
</sst>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0" fontId="0" fillId="0" borderId="4" xfId="0" applyBorder="1"/>
    <xf numFmtId="0" fontId="0" fillId="0" borderId="14" xfId="0" applyBorder="1"/>
    <xf numFmtId="0" fontId="0" fillId="0" borderId="21" xfId="0" applyBorder="1"/>
    <xf numFmtId="0" fontId="0" fillId="0" borderId="5" xfId="0" applyBorder="1"/>
    <xf numFmtId="0" fontId="0" fillId="0" borderId="8" xfId="0" applyBorder="1"/>
    <xf numFmtId="0" fontId="0" fillId="0" borderId="16" xfId="0" applyBorder="1"/>
    <xf numFmtId="0" fontId="0" fillId="0" borderId="25" xfId="0" applyBorder="1"/>
    <xf numFmtId="0" fontId="0" fillId="4" borderId="25" xfId="0" applyFill="1" applyBorder="1"/>
    <xf numFmtId="0" fontId="0" fillId="4" borderId="26" xfId="0" applyFill="1" applyBorder="1"/>
    <xf numFmtId="0" fontId="3" fillId="5" borderId="27" xfId="0" applyFont="1" applyFill="1" applyBorder="1"/>
    <xf numFmtId="0" fontId="3" fillId="5" borderId="2" xfId="0" applyFont="1" applyFill="1" applyBorder="1"/>
    <xf numFmtId="0" fontId="3" fillId="5" borderId="22" xfId="0" applyFont="1" applyFill="1" applyBorder="1"/>
    <xf numFmtId="0" fontId="3" fillId="5" borderId="22" xfId="0" applyFont="1" applyFill="1" applyBorder="1" applyAlignment="1">
      <alignment wrapText="1"/>
    </xf>
    <xf numFmtId="0" fontId="3" fillId="5" borderId="23" xfId="0" applyFont="1" applyFill="1" applyBorder="1" applyAlignment="1">
      <alignment wrapText="1"/>
    </xf>
    <xf numFmtId="0" fontId="1" fillId="0" borderId="13" xfId="0" applyFont="1" applyBorder="1"/>
    <xf numFmtId="0" fontId="1" fillId="0" borderId="1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5" xfId="0" applyFont="1" applyBorder="1"/>
    <xf numFmtId="0" fontId="0" fillId="0" borderId="35" xfId="0" applyBorder="1"/>
    <xf numFmtId="0" fontId="0" fillId="6" borderId="25" xfId="0" applyFill="1" applyBorder="1"/>
    <xf numFmtId="0" fontId="5" fillId="6" borderId="7" xfId="0" applyFont="1" applyFill="1" applyBorder="1" applyAlignment="1">
      <alignment horizontal="center"/>
    </xf>
    <xf numFmtId="0" fontId="0" fillId="6" borderId="26" xfId="0" applyFill="1" applyBorder="1"/>
    <xf numFmtId="0" fontId="5" fillId="6" borderId="19" xfId="0" applyFont="1" applyFill="1" applyBorder="1" applyAlignment="1">
      <alignment horizontal="center"/>
    </xf>
    <xf numFmtId="0" fontId="3" fillId="6" borderId="27" xfId="0" applyFont="1" applyFill="1" applyBorder="1"/>
    <xf numFmtId="0" fontId="3" fillId="6" borderId="2" xfId="0" applyFont="1" applyFill="1" applyBorder="1"/>
    <xf numFmtId="0" fontId="3" fillId="6" borderId="22" xfId="0" applyFont="1" applyFill="1" applyBorder="1"/>
    <xf numFmtId="0" fontId="3" fillId="6" borderId="22" xfId="0" applyFont="1" applyFill="1" applyBorder="1" applyAlignment="1">
      <alignment wrapText="1"/>
    </xf>
    <xf numFmtId="0" fontId="3" fillId="6" borderId="23" xfId="0" applyFont="1" applyFill="1" applyBorder="1" applyAlignment="1">
      <alignment wrapText="1"/>
    </xf>
    <xf numFmtId="0" fontId="1" fillId="6" borderId="33" xfId="0" applyFont="1" applyFill="1" applyBorder="1"/>
    <xf numFmtId="0" fontId="0" fillId="6" borderId="23" xfId="0" applyFill="1" applyBorder="1" applyAlignment="1">
      <alignment horizontal="center"/>
    </xf>
    <xf numFmtId="0" fontId="1" fillId="6" borderId="34" xfId="0" applyFont="1" applyFill="1" applyBorder="1"/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5" xfId="0" applyFont="1" applyFill="1" applyBorder="1" applyAlignment="1">
      <alignment wrapText="1"/>
    </xf>
    <xf numFmtId="0" fontId="1" fillId="6" borderId="41" xfId="0" applyFont="1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3" fillId="6" borderId="2" xfId="0" applyFont="1" applyFill="1" applyBorder="1" applyAlignment="1">
      <alignment wrapText="1"/>
    </xf>
    <xf numFmtId="2" fontId="0" fillId="6" borderId="29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0" fontId="4" fillId="4" borderId="19" xfId="0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4" fillId="6" borderId="24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20" xfId="0" applyFont="1" applyFill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0" fontId="5" fillId="6" borderId="24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  <xf numFmtId="2" fontId="0" fillId="6" borderId="28" xfId="0" applyNumberFormat="1" applyFill="1" applyBorder="1" applyAlignment="1">
      <alignment horizontal="center"/>
    </xf>
    <xf numFmtId="2" fontId="0" fillId="6" borderId="29" xfId="0" applyNumberForma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7" workbookViewId="0">
      <selection activeCell="F8" sqref="F8"/>
    </sheetView>
  </sheetViews>
  <sheetFormatPr defaultRowHeight="14.4" x14ac:dyDescent="0.55000000000000004"/>
  <cols>
    <col min="3" max="3" width="13.3125" customWidth="1"/>
    <col min="4" max="4" width="10.734375" customWidth="1"/>
    <col min="5" max="5" width="14.05078125" customWidth="1"/>
    <col min="6" max="6" width="13.1015625" customWidth="1"/>
    <col min="7" max="7" width="14.734375" customWidth="1"/>
    <col min="8" max="8" width="12" customWidth="1"/>
    <col min="9" max="9" width="15.83984375" customWidth="1"/>
    <col min="10" max="10" width="12.9453125" customWidth="1"/>
    <col min="11" max="11" width="12.41796875" customWidth="1"/>
    <col min="12" max="12" width="11.47265625" customWidth="1"/>
    <col min="13" max="13" width="13.68359375" customWidth="1"/>
    <col min="14" max="14" width="12.9453125" customWidth="1"/>
    <col min="15" max="15" width="13.734375" customWidth="1"/>
  </cols>
  <sheetData>
    <row r="1" spans="1:15" ht="14.7" thickBot="1" x14ac:dyDescent="0.6"/>
    <row r="2" spans="1:15" ht="28.8" customHeight="1" x14ac:dyDescent="0.55000000000000004">
      <c r="B2" s="75" t="s">
        <v>47</v>
      </c>
      <c r="C2" s="76"/>
      <c r="D2" s="18"/>
      <c r="E2" s="69" t="s">
        <v>49</v>
      </c>
      <c r="F2" s="70"/>
      <c r="G2" s="70"/>
      <c r="H2" s="70"/>
      <c r="I2" s="70"/>
      <c r="J2" s="70"/>
      <c r="K2" s="70"/>
      <c r="L2" s="70"/>
      <c r="M2" s="70"/>
      <c r="N2" s="71"/>
      <c r="O2" s="18"/>
    </row>
    <row r="3" spans="1:15" ht="14.7" customHeight="1" thickBot="1" x14ac:dyDescent="0.6">
      <c r="B3" s="77"/>
      <c r="C3" s="78"/>
      <c r="D3" s="19"/>
      <c r="E3" s="72"/>
      <c r="F3" s="73"/>
      <c r="G3" s="73"/>
      <c r="H3" s="73"/>
      <c r="I3" s="73"/>
      <c r="J3" s="73"/>
      <c r="K3" s="73"/>
      <c r="L3" s="73"/>
      <c r="M3" s="73"/>
      <c r="N3" s="74"/>
      <c r="O3" s="19"/>
    </row>
    <row r="4" spans="1:15" ht="40.799999999999997" customHeight="1" thickBot="1" x14ac:dyDescent="0.75">
      <c r="A4" s="1"/>
      <c r="B4" s="20" t="s">
        <v>0</v>
      </c>
      <c r="C4" s="21" t="s">
        <v>48</v>
      </c>
      <c r="D4" s="20" t="s">
        <v>6</v>
      </c>
      <c r="E4" s="22" t="s">
        <v>5</v>
      </c>
      <c r="F4" s="22" t="s">
        <v>11</v>
      </c>
      <c r="G4" s="22" t="s">
        <v>12</v>
      </c>
      <c r="H4" s="22" t="s">
        <v>13</v>
      </c>
      <c r="I4" s="23" t="s">
        <v>14</v>
      </c>
      <c r="J4" s="22" t="s">
        <v>15</v>
      </c>
      <c r="K4" s="23" t="s">
        <v>16</v>
      </c>
      <c r="L4" s="23" t="s">
        <v>17</v>
      </c>
      <c r="M4" s="22" t="s">
        <v>18</v>
      </c>
      <c r="N4" s="23" t="s">
        <v>41</v>
      </c>
      <c r="O4" s="24" t="s">
        <v>46</v>
      </c>
    </row>
    <row r="5" spans="1:15" x14ac:dyDescent="0.55000000000000004">
      <c r="B5" s="88">
        <v>1</v>
      </c>
      <c r="C5" s="85" t="s">
        <v>1</v>
      </c>
      <c r="D5" s="27" t="s">
        <v>7</v>
      </c>
      <c r="E5" s="17" t="s">
        <v>19</v>
      </c>
      <c r="F5" s="3" t="s">
        <v>23</v>
      </c>
      <c r="G5" s="9" t="s">
        <v>26</v>
      </c>
      <c r="H5" s="3" t="s">
        <v>28</v>
      </c>
      <c r="I5" s="3" t="s">
        <v>30</v>
      </c>
      <c r="J5" s="3" t="s">
        <v>33</v>
      </c>
      <c r="K5" s="68"/>
      <c r="L5" s="68"/>
      <c r="M5" s="68"/>
      <c r="N5" s="68"/>
      <c r="O5" s="79"/>
    </row>
    <row r="6" spans="1:15" x14ac:dyDescent="0.55000000000000004">
      <c r="B6" s="89"/>
      <c r="C6" s="86"/>
      <c r="D6" s="28" t="s">
        <v>8</v>
      </c>
      <c r="E6" s="30" t="s">
        <v>20</v>
      </c>
      <c r="F6" s="8" t="s">
        <v>20</v>
      </c>
      <c r="G6" s="8" t="s">
        <v>27</v>
      </c>
      <c r="H6" s="2" t="s">
        <v>29</v>
      </c>
      <c r="I6" s="2" t="s">
        <v>31</v>
      </c>
      <c r="J6" s="7"/>
      <c r="K6" s="65"/>
      <c r="L6" s="65"/>
      <c r="M6" s="65"/>
      <c r="N6" s="65"/>
      <c r="O6" s="80"/>
    </row>
    <row r="7" spans="1:15" x14ac:dyDescent="0.55000000000000004">
      <c r="B7" s="89"/>
      <c r="C7" s="86"/>
      <c r="D7" s="25" t="s">
        <v>9</v>
      </c>
      <c r="E7" s="30" t="s">
        <v>21</v>
      </c>
      <c r="F7" s="6" t="s">
        <v>21</v>
      </c>
      <c r="G7" s="8" t="s">
        <v>25</v>
      </c>
      <c r="H7" s="2"/>
      <c r="I7" s="2" t="s">
        <v>21</v>
      </c>
      <c r="J7" s="2" t="s">
        <v>32</v>
      </c>
      <c r="K7" s="65"/>
      <c r="L7" s="65"/>
      <c r="M7" s="65"/>
      <c r="N7" s="65"/>
      <c r="O7" s="80"/>
    </row>
    <row r="8" spans="1:15" ht="112.8" customHeight="1" thickBot="1" x14ac:dyDescent="0.6">
      <c r="B8" s="90"/>
      <c r="C8" s="87"/>
      <c r="D8" s="26" t="s">
        <v>58</v>
      </c>
      <c r="E8" s="16"/>
      <c r="F8" s="5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7"/>
      <c r="L8" s="67"/>
      <c r="M8" s="67"/>
      <c r="N8" s="67"/>
      <c r="O8" s="81"/>
    </row>
    <row r="9" spans="1:15" x14ac:dyDescent="0.55000000000000004">
      <c r="B9" s="88">
        <v>2</v>
      </c>
      <c r="C9" s="85" t="s">
        <v>2</v>
      </c>
      <c r="D9" s="27" t="s">
        <v>7</v>
      </c>
      <c r="E9" s="14" t="s">
        <v>19</v>
      </c>
      <c r="F9" s="3" t="s">
        <v>23</v>
      </c>
      <c r="G9" s="9" t="s">
        <v>39</v>
      </c>
      <c r="H9" s="64"/>
      <c r="I9" s="3" t="s">
        <v>30</v>
      </c>
      <c r="J9" s="3" t="s">
        <v>34</v>
      </c>
      <c r="K9" s="3" t="s">
        <v>23</v>
      </c>
      <c r="L9" s="3" t="s">
        <v>37</v>
      </c>
      <c r="M9" s="2" t="s">
        <v>43</v>
      </c>
      <c r="N9" s="3" t="s">
        <v>44</v>
      </c>
      <c r="O9" s="79"/>
    </row>
    <row r="10" spans="1:15" x14ac:dyDescent="0.55000000000000004">
      <c r="B10" s="89"/>
      <c r="C10" s="86"/>
      <c r="D10" s="28" t="s">
        <v>8</v>
      </c>
      <c r="E10" s="15" t="s">
        <v>24</v>
      </c>
      <c r="F10" s="2" t="s">
        <v>20</v>
      </c>
      <c r="G10" s="8" t="s">
        <v>40</v>
      </c>
      <c r="H10" s="65"/>
      <c r="I10" s="7" t="s">
        <v>31</v>
      </c>
      <c r="J10" s="7"/>
      <c r="K10" s="2" t="s">
        <v>35</v>
      </c>
      <c r="L10" s="2" t="s">
        <v>38</v>
      </c>
      <c r="M10" s="13" t="s">
        <v>42</v>
      </c>
      <c r="N10" s="2" t="s">
        <v>45</v>
      </c>
      <c r="O10" s="80"/>
    </row>
    <row r="11" spans="1:15" x14ac:dyDescent="0.55000000000000004">
      <c r="B11" s="89"/>
      <c r="C11" s="86"/>
      <c r="D11" s="25" t="s">
        <v>9</v>
      </c>
      <c r="E11" s="15" t="s">
        <v>21</v>
      </c>
      <c r="F11" s="2" t="s">
        <v>21</v>
      </c>
      <c r="G11" s="8" t="s">
        <v>25</v>
      </c>
      <c r="H11" s="65"/>
      <c r="I11" s="2" t="s">
        <v>21</v>
      </c>
      <c r="J11" s="2" t="s">
        <v>32</v>
      </c>
      <c r="K11" s="7"/>
      <c r="L11" s="2" t="s">
        <v>36</v>
      </c>
      <c r="M11" s="2" t="s">
        <v>21</v>
      </c>
      <c r="N11" s="2" t="s">
        <v>32</v>
      </c>
      <c r="O11" s="80"/>
    </row>
    <row r="12" spans="1:15" ht="14.7" thickBot="1" x14ac:dyDescent="0.6">
      <c r="B12" s="91"/>
      <c r="C12" s="87"/>
      <c r="D12" s="26" t="s">
        <v>10</v>
      </c>
      <c r="E12" s="16" t="s">
        <v>22</v>
      </c>
      <c r="F12" s="4" t="s">
        <v>22</v>
      </c>
      <c r="G12" s="6" t="s">
        <v>22</v>
      </c>
      <c r="H12" s="67"/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81"/>
    </row>
    <row r="13" spans="1:15" x14ac:dyDescent="0.55000000000000004">
      <c r="B13" s="88">
        <v>3</v>
      </c>
      <c r="C13" s="85" t="s">
        <v>3</v>
      </c>
      <c r="D13" s="27" t="s">
        <v>7</v>
      </c>
      <c r="E13" s="82"/>
      <c r="F13" s="12" t="s">
        <v>23</v>
      </c>
      <c r="G13" s="64"/>
      <c r="H13" s="64"/>
      <c r="I13" s="64"/>
      <c r="J13" s="64"/>
      <c r="K13" s="64"/>
      <c r="L13" s="64"/>
      <c r="M13" s="64"/>
      <c r="N13" s="3" t="s">
        <v>44</v>
      </c>
      <c r="O13" s="79"/>
    </row>
    <row r="14" spans="1:15" x14ac:dyDescent="0.55000000000000004">
      <c r="B14" s="89"/>
      <c r="C14" s="86"/>
      <c r="D14" s="28" t="s">
        <v>8</v>
      </c>
      <c r="E14" s="83"/>
      <c r="F14" s="8" t="s">
        <v>20</v>
      </c>
      <c r="G14" s="65"/>
      <c r="H14" s="65"/>
      <c r="I14" s="65"/>
      <c r="J14" s="65"/>
      <c r="K14" s="65"/>
      <c r="L14" s="65"/>
      <c r="M14" s="65"/>
      <c r="N14" s="2" t="s">
        <v>45</v>
      </c>
      <c r="O14" s="80"/>
    </row>
    <row r="15" spans="1:15" x14ac:dyDescent="0.55000000000000004">
      <c r="B15" s="89"/>
      <c r="C15" s="86"/>
      <c r="D15" s="28" t="s">
        <v>9</v>
      </c>
      <c r="E15" s="83"/>
      <c r="F15" s="6" t="s">
        <v>21</v>
      </c>
      <c r="G15" s="65"/>
      <c r="H15" s="65"/>
      <c r="I15" s="65"/>
      <c r="J15" s="65"/>
      <c r="K15" s="65"/>
      <c r="L15" s="65"/>
      <c r="M15" s="65"/>
      <c r="N15" s="2" t="s">
        <v>32</v>
      </c>
      <c r="O15" s="80"/>
    </row>
    <row r="16" spans="1:15" ht="14.7" thickBot="1" x14ac:dyDescent="0.6">
      <c r="B16" s="91"/>
      <c r="C16" s="87"/>
      <c r="D16" s="26" t="s">
        <v>10</v>
      </c>
      <c r="E16" s="84"/>
      <c r="F16" s="4" t="s">
        <v>22</v>
      </c>
      <c r="G16" s="67"/>
      <c r="H16" s="67"/>
      <c r="I16" s="67"/>
      <c r="J16" s="67"/>
      <c r="K16" s="67"/>
      <c r="L16" s="67"/>
      <c r="M16" s="67"/>
      <c r="N16" s="11" t="s">
        <v>22</v>
      </c>
      <c r="O16" s="81"/>
    </row>
    <row r="17" spans="2:15" x14ac:dyDescent="0.55000000000000004">
      <c r="B17" s="88">
        <v>4</v>
      </c>
      <c r="C17" s="85" t="s">
        <v>4</v>
      </c>
      <c r="D17" s="27" t="s">
        <v>7</v>
      </c>
      <c r="E17" s="82"/>
      <c r="F17" s="64"/>
      <c r="G17" s="64"/>
      <c r="H17" s="64"/>
      <c r="I17" s="3" t="s">
        <v>30</v>
      </c>
      <c r="J17" s="64"/>
      <c r="K17" s="64"/>
      <c r="L17" s="64"/>
      <c r="M17" s="3"/>
      <c r="N17" s="64"/>
      <c r="O17" s="79"/>
    </row>
    <row r="18" spans="2:15" x14ac:dyDescent="0.55000000000000004">
      <c r="B18" s="89"/>
      <c r="C18" s="86"/>
      <c r="D18" s="28" t="s">
        <v>8</v>
      </c>
      <c r="E18" s="83"/>
      <c r="F18" s="65"/>
      <c r="G18" s="65"/>
      <c r="H18" s="65"/>
      <c r="I18" s="7" t="s">
        <v>31</v>
      </c>
      <c r="J18" s="65"/>
      <c r="K18" s="65"/>
      <c r="L18" s="65"/>
      <c r="M18" s="2" t="s">
        <v>43</v>
      </c>
      <c r="N18" s="65"/>
      <c r="O18" s="80"/>
    </row>
    <row r="19" spans="2:15" x14ac:dyDescent="0.55000000000000004">
      <c r="B19" s="89"/>
      <c r="C19" s="86"/>
      <c r="D19" s="25" t="s">
        <v>9</v>
      </c>
      <c r="E19" s="83"/>
      <c r="F19" s="65"/>
      <c r="G19" s="65"/>
      <c r="H19" s="65"/>
      <c r="I19" s="2" t="s">
        <v>21</v>
      </c>
      <c r="J19" s="65"/>
      <c r="K19" s="65"/>
      <c r="L19" s="65"/>
      <c r="M19" s="2" t="s">
        <v>32</v>
      </c>
      <c r="N19" s="65"/>
      <c r="O19" s="80"/>
    </row>
    <row r="20" spans="2:15" ht="14.7" thickBot="1" x14ac:dyDescent="0.6">
      <c r="B20" s="91"/>
      <c r="C20" s="87"/>
      <c r="D20" s="29" t="s">
        <v>10</v>
      </c>
      <c r="E20" s="92"/>
      <c r="F20" s="66"/>
      <c r="G20" s="66"/>
      <c r="H20" s="66"/>
      <c r="I20" s="10" t="s">
        <v>22</v>
      </c>
      <c r="J20" s="66"/>
      <c r="K20" s="66"/>
      <c r="L20" s="66"/>
      <c r="M20" s="4" t="s">
        <v>22</v>
      </c>
      <c r="N20" s="66"/>
      <c r="O20" s="81"/>
    </row>
  </sheetData>
  <mergeCells count="35">
    <mergeCell ref="O17:O20"/>
    <mergeCell ref="C5:C8"/>
    <mergeCell ref="C9:C12"/>
    <mergeCell ref="B5:B8"/>
    <mergeCell ref="B9:B12"/>
    <mergeCell ref="B13:B16"/>
    <mergeCell ref="B17:B20"/>
    <mergeCell ref="C13:C16"/>
    <mergeCell ref="C17:C20"/>
    <mergeCell ref="E17:E20"/>
    <mergeCell ref="F17:F20"/>
    <mergeCell ref="G17:G20"/>
    <mergeCell ref="H17:H20"/>
    <mergeCell ref="K17:K20"/>
    <mergeCell ref="L17:L20"/>
    <mergeCell ref="N17:N20"/>
    <mergeCell ref="E2:N3"/>
    <mergeCell ref="B2:C3"/>
    <mergeCell ref="O5:O8"/>
    <mergeCell ref="O9:O12"/>
    <mergeCell ref="O13:O16"/>
    <mergeCell ref="E13:E16"/>
    <mergeCell ref="H9:H12"/>
    <mergeCell ref="G13:G16"/>
    <mergeCell ref="H13:H16"/>
    <mergeCell ref="I13:I16"/>
    <mergeCell ref="J13:J16"/>
    <mergeCell ref="K13:K16"/>
    <mergeCell ref="L13:L16"/>
    <mergeCell ref="J17:J20"/>
    <mergeCell ref="M13:M16"/>
    <mergeCell ref="N5:N8"/>
    <mergeCell ref="M5:M8"/>
    <mergeCell ref="L5:L8"/>
    <mergeCell ref="K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0B60-1B70-407D-A305-644E7B67FED6}">
  <dimension ref="A1:S16"/>
  <sheetViews>
    <sheetView topLeftCell="B1" workbookViewId="0">
      <selection activeCell="J21" sqref="J21"/>
    </sheetView>
  </sheetViews>
  <sheetFormatPr defaultRowHeight="14.4" x14ac:dyDescent="0.55000000000000004"/>
  <cols>
    <col min="3" max="3" width="16.9453125" customWidth="1"/>
    <col min="4" max="5" width="13.1015625" customWidth="1"/>
    <col min="6" max="6" width="10.734375" customWidth="1"/>
    <col min="8" max="8" width="13.68359375" customWidth="1"/>
    <col min="9" max="9" width="11.05078125" customWidth="1"/>
    <col min="10" max="10" width="10.20703125" customWidth="1"/>
    <col min="12" max="12" width="10.3671875" customWidth="1"/>
    <col min="13" max="13" width="9.68359375" customWidth="1"/>
    <col min="14" max="14" width="12.578125" customWidth="1"/>
    <col min="15" max="15" width="11.62890625" customWidth="1"/>
    <col min="16" max="16" width="10.68359375" customWidth="1"/>
    <col min="17" max="18" width="9.15625" customWidth="1"/>
    <col min="19" max="19" width="9.05078125" customWidth="1"/>
  </cols>
  <sheetData>
    <row r="1" spans="1:19" ht="30.6" x14ac:dyDescent="1.1000000000000001">
      <c r="A1" s="93" t="s">
        <v>47</v>
      </c>
      <c r="B1" s="94"/>
      <c r="C1" s="31"/>
      <c r="D1" s="97" t="s">
        <v>57</v>
      </c>
      <c r="E1" s="98"/>
      <c r="F1" s="98"/>
      <c r="G1" s="98"/>
      <c r="H1" s="98"/>
      <c r="I1" s="98"/>
      <c r="J1" s="98"/>
      <c r="K1" s="98"/>
      <c r="L1" s="98"/>
      <c r="M1" s="98"/>
      <c r="N1" s="99"/>
      <c r="O1" s="32"/>
      <c r="P1" s="32"/>
      <c r="Q1" s="32"/>
      <c r="R1" s="32"/>
      <c r="S1" s="31"/>
    </row>
    <row r="2" spans="1:19" ht="30.9" thickBot="1" x14ac:dyDescent="1.1499999999999999">
      <c r="A2" s="95"/>
      <c r="B2" s="96"/>
      <c r="C2" s="33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102"/>
      <c r="O2" s="34"/>
      <c r="P2" s="34"/>
      <c r="Q2" s="34"/>
      <c r="R2" s="34"/>
      <c r="S2" s="33"/>
    </row>
    <row r="3" spans="1:19" ht="36.9" thickBot="1" x14ac:dyDescent="0.75">
      <c r="A3" s="35" t="s">
        <v>0</v>
      </c>
      <c r="B3" s="36" t="s">
        <v>48</v>
      </c>
      <c r="C3" s="35" t="s">
        <v>6</v>
      </c>
      <c r="D3" s="37" t="s">
        <v>5</v>
      </c>
      <c r="E3" s="38" t="s">
        <v>52</v>
      </c>
      <c r="F3" s="37" t="s">
        <v>11</v>
      </c>
      <c r="G3" s="37" t="s">
        <v>12</v>
      </c>
      <c r="H3" s="37" t="s">
        <v>13</v>
      </c>
      <c r="I3" s="38" t="s">
        <v>14</v>
      </c>
      <c r="J3" s="37" t="s">
        <v>15</v>
      </c>
      <c r="K3" s="38" t="s">
        <v>16</v>
      </c>
      <c r="L3" s="38" t="s">
        <v>17</v>
      </c>
      <c r="M3" s="38" t="s">
        <v>51</v>
      </c>
      <c r="N3" s="38" t="s">
        <v>41</v>
      </c>
      <c r="O3" s="62" t="s">
        <v>53</v>
      </c>
      <c r="P3" s="62" t="s">
        <v>55</v>
      </c>
      <c r="Q3" s="39" t="s">
        <v>54</v>
      </c>
      <c r="R3" s="39" t="s">
        <v>56</v>
      </c>
      <c r="S3" s="39" t="s">
        <v>6</v>
      </c>
    </row>
    <row r="4" spans="1:19" x14ac:dyDescent="0.55000000000000004">
      <c r="A4" s="103">
        <v>1</v>
      </c>
      <c r="B4" s="106" t="s">
        <v>1</v>
      </c>
      <c r="C4" s="40" t="s">
        <v>7</v>
      </c>
      <c r="D4" s="46">
        <v>2</v>
      </c>
      <c r="E4" s="54">
        <v>2</v>
      </c>
      <c r="F4" s="48">
        <v>3</v>
      </c>
      <c r="G4" s="49">
        <v>2</v>
      </c>
      <c r="H4" s="48">
        <v>3</v>
      </c>
      <c r="I4" s="48">
        <v>2</v>
      </c>
      <c r="J4" s="48">
        <v>1</v>
      </c>
      <c r="K4" s="49">
        <v>0</v>
      </c>
      <c r="L4" s="49">
        <v>0</v>
      </c>
      <c r="M4" s="49">
        <v>0</v>
      </c>
      <c r="N4" s="49">
        <v>0</v>
      </c>
      <c r="O4" s="112">
        <v>100</v>
      </c>
      <c r="P4" s="41"/>
      <c r="Q4" s="109">
        <f>(P6/25)*100</f>
        <v>17.714285714285715</v>
      </c>
      <c r="R4" s="109">
        <f>O4-Q4</f>
        <v>82.285714285714278</v>
      </c>
      <c r="S4" s="109">
        <v>2</v>
      </c>
    </row>
    <row r="5" spans="1:19" x14ac:dyDescent="0.55000000000000004">
      <c r="A5" s="104"/>
      <c r="B5" s="107"/>
      <c r="C5" s="42" t="s">
        <v>8</v>
      </c>
      <c r="D5" s="47">
        <v>3</v>
      </c>
      <c r="E5" s="55">
        <v>3</v>
      </c>
      <c r="F5" s="50">
        <v>3</v>
      </c>
      <c r="G5" s="50">
        <v>2</v>
      </c>
      <c r="H5" s="45">
        <v>1</v>
      </c>
      <c r="I5" s="45">
        <v>1</v>
      </c>
      <c r="J5" s="45">
        <v>1</v>
      </c>
      <c r="K5" s="50">
        <v>0</v>
      </c>
      <c r="L5" s="50">
        <v>0</v>
      </c>
      <c r="M5" s="50">
        <v>0</v>
      </c>
      <c r="N5" s="50">
        <v>0</v>
      </c>
      <c r="O5" s="113"/>
      <c r="P5" s="43"/>
      <c r="Q5" s="110"/>
      <c r="R5" s="110"/>
      <c r="S5" s="110"/>
    </row>
    <row r="6" spans="1:19" ht="32.1" customHeight="1" thickBot="1" x14ac:dyDescent="0.6">
      <c r="A6" s="105"/>
      <c r="B6" s="108"/>
      <c r="C6" s="59" t="s">
        <v>50</v>
      </c>
      <c r="D6" s="60">
        <f>PRODUCT(D4:D5)</f>
        <v>6</v>
      </c>
      <c r="E6" s="60">
        <f>PRODUCT(E4:E5)</f>
        <v>6</v>
      </c>
      <c r="F6" s="60">
        <f>PRODUCT(F4:F5)</f>
        <v>9</v>
      </c>
      <c r="G6" s="60">
        <f t="shared" ref="G6:J6" si="0">PRODUCT(G4:G5)</f>
        <v>4</v>
      </c>
      <c r="H6" s="60">
        <f t="shared" si="0"/>
        <v>3</v>
      </c>
      <c r="I6" s="60">
        <f t="shared" si="0"/>
        <v>2</v>
      </c>
      <c r="J6" s="60">
        <f t="shared" si="0"/>
        <v>1</v>
      </c>
      <c r="K6" s="60">
        <f t="shared" ref="K6" si="1">PRODUCT(K4:K5)</f>
        <v>0</v>
      </c>
      <c r="L6" s="60">
        <f t="shared" ref="L6" si="2">PRODUCT(L4:L5)</f>
        <v>0</v>
      </c>
      <c r="M6" s="60">
        <f t="shared" ref="M6" si="3">PRODUCT(M4:M5)</f>
        <v>0</v>
      </c>
      <c r="N6" s="60">
        <f t="shared" ref="N6" si="4">PRODUCT(N4:N5)</f>
        <v>0</v>
      </c>
      <c r="O6" s="114"/>
      <c r="P6" s="63">
        <f>AVERAGEIF(D6:N6,"&lt;&gt;0")</f>
        <v>4.4285714285714288</v>
      </c>
      <c r="Q6" s="111"/>
      <c r="R6" s="111"/>
      <c r="S6" s="111"/>
    </row>
    <row r="7" spans="1:19" x14ac:dyDescent="0.55000000000000004">
      <c r="A7" s="103">
        <v>2</v>
      </c>
      <c r="B7" s="106" t="s">
        <v>2</v>
      </c>
      <c r="C7" s="40" t="s">
        <v>7</v>
      </c>
      <c r="D7" s="51">
        <v>2</v>
      </c>
      <c r="E7" s="56">
        <v>2</v>
      </c>
      <c r="F7" s="48">
        <v>3</v>
      </c>
      <c r="G7" s="49">
        <v>1</v>
      </c>
      <c r="H7" s="49">
        <v>0</v>
      </c>
      <c r="I7" s="48">
        <v>2</v>
      </c>
      <c r="J7" s="48">
        <v>1</v>
      </c>
      <c r="K7" s="48">
        <v>3</v>
      </c>
      <c r="L7" s="48">
        <v>2</v>
      </c>
      <c r="M7" s="48">
        <v>2</v>
      </c>
      <c r="N7" s="48">
        <v>2</v>
      </c>
      <c r="O7" s="112">
        <v>100</v>
      </c>
      <c r="P7" s="41"/>
      <c r="Q7" s="109">
        <f>(P9/25)*100</f>
        <v>16.399999999999999</v>
      </c>
      <c r="R7" s="109">
        <f>O7-Q7</f>
        <v>83.6</v>
      </c>
      <c r="S7" s="109">
        <v>2</v>
      </c>
    </row>
    <row r="8" spans="1:19" x14ac:dyDescent="0.55000000000000004">
      <c r="A8" s="104"/>
      <c r="B8" s="107"/>
      <c r="C8" s="42" t="s">
        <v>8</v>
      </c>
      <c r="D8" s="52">
        <v>3</v>
      </c>
      <c r="E8" s="57">
        <v>3</v>
      </c>
      <c r="F8" s="45">
        <v>3</v>
      </c>
      <c r="G8" s="50">
        <v>2</v>
      </c>
      <c r="H8" s="50">
        <v>0</v>
      </c>
      <c r="I8" s="45">
        <v>1</v>
      </c>
      <c r="J8" s="45">
        <v>1</v>
      </c>
      <c r="K8" s="45">
        <v>1</v>
      </c>
      <c r="L8" s="45">
        <v>3</v>
      </c>
      <c r="M8" s="53">
        <v>1</v>
      </c>
      <c r="N8" s="45">
        <v>2</v>
      </c>
      <c r="O8" s="113"/>
      <c r="P8" s="43"/>
      <c r="Q8" s="110"/>
      <c r="R8" s="110"/>
      <c r="S8" s="110"/>
    </row>
    <row r="9" spans="1:19" ht="29.1" thickBot="1" x14ac:dyDescent="0.6">
      <c r="A9" s="105"/>
      <c r="B9" s="108"/>
      <c r="C9" s="59" t="s">
        <v>50</v>
      </c>
      <c r="D9" s="60">
        <f>PRODUCT(D7:D8)</f>
        <v>6</v>
      </c>
      <c r="E9" s="60">
        <f t="shared" ref="E9:N9" si="5">PRODUCT(E7:E8)</f>
        <v>6</v>
      </c>
      <c r="F9" s="60">
        <f t="shared" si="5"/>
        <v>9</v>
      </c>
      <c r="G9" s="60">
        <f t="shared" si="5"/>
        <v>2</v>
      </c>
      <c r="H9" s="60">
        <f t="shared" si="5"/>
        <v>0</v>
      </c>
      <c r="I9" s="60">
        <f t="shared" si="5"/>
        <v>2</v>
      </c>
      <c r="J9" s="60">
        <f t="shared" si="5"/>
        <v>1</v>
      </c>
      <c r="K9" s="60">
        <f t="shared" si="5"/>
        <v>3</v>
      </c>
      <c r="L9" s="60">
        <f t="shared" si="5"/>
        <v>6</v>
      </c>
      <c r="M9" s="60">
        <f t="shared" si="5"/>
        <v>2</v>
      </c>
      <c r="N9" s="60">
        <f t="shared" si="5"/>
        <v>4</v>
      </c>
      <c r="O9" s="114"/>
      <c r="P9" s="44">
        <f>AVERAGEIF(D9:N9,"&lt;&gt;0")</f>
        <v>4.0999999999999996</v>
      </c>
      <c r="Q9" s="111"/>
      <c r="R9" s="111"/>
      <c r="S9" s="111"/>
    </row>
    <row r="10" spans="1:19" x14ac:dyDescent="0.55000000000000004">
      <c r="A10" s="103">
        <v>3</v>
      </c>
      <c r="B10" s="106" t="s">
        <v>3</v>
      </c>
      <c r="C10" s="40" t="s">
        <v>7</v>
      </c>
      <c r="D10" s="48">
        <v>0</v>
      </c>
      <c r="E10" s="48">
        <v>0</v>
      </c>
      <c r="F10" s="49">
        <v>3</v>
      </c>
      <c r="G10" s="48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8">
        <v>2</v>
      </c>
      <c r="O10" s="112">
        <v>100</v>
      </c>
      <c r="P10" s="41"/>
      <c r="Q10" s="109">
        <f>(P12/25)*100</f>
        <v>26</v>
      </c>
      <c r="R10" s="109">
        <f>O10-Q10</f>
        <v>74</v>
      </c>
      <c r="S10" s="109">
        <v>3</v>
      </c>
    </row>
    <row r="11" spans="1:19" x14ac:dyDescent="0.55000000000000004">
      <c r="A11" s="104"/>
      <c r="B11" s="107"/>
      <c r="C11" s="42" t="s">
        <v>8</v>
      </c>
      <c r="D11" s="45">
        <v>0</v>
      </c>
      <c r="E11" s="45">
        <v>0</v>
      </c>
      <c r="F11" s="50">
        <v>3</v>
      </c>
      <c r="G11" s="45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45">
        <v>2</v>
      </c>
      <c r="O11" s="113"/>
      <c r="P11" s="43"/>
      <c r="Q11" s="110"/>
      <c r="R11" s="110"/>
      <c r="S11" s="110"/>
    </row>
    <row r="12" spans="1:19" ht="29.1" thickBot="1" x14ac:dyDescent="0.6">
      <c r="A12" s="105"/>
      <c r="B12" s="108"/>
      <c r="C12" s="59" t="s">
        <v>50</v>
      </c>
      <c r="D12" s="61">
        <f>PRODUCT(D10:D11)</f>
        <v>0</v>
      </c>
      <c r="E12" s="61">
        <f t="shared" ref="E12:N12" si="6">PRODUCT(E10:E11)</f>
        <v>0</v>
      </c>
      <c r="F12" s="61">
        <f t="shared" si="6"/>
        <v>9</v>
      </c>
      <c r="G12" s="61">
        <f t="shared" si="6"/>
        <v>0</v>
      </c>
      <c r="H12" s="61">
        <f t="shared" si="6"/>
        <v>0</v>
      </c>
      <c r="I12" s="61">
        <f t="shared" si="6"/>
        <v>0</v>
      </c>
      <c r="J12" s="61">
        <f t="shared" si="6"/>
        <v>0</v>
      </c>
      <c r="K12" s="61">
        <f t="shared" si="6"/>
        <v>0</v>
      </c>
      <c r="L12" s="61">
        <f t="shared" si="6"/>
        <v>0</v>
      </c>
      <c r="M12" s="61">
        <f t="shared" si="6"/>
        <v>0</v>
      </c>
      <c r="N12" s="61">
        <f t="shared" si="6"/>
        <v>4</v>
      </c>
      <c r="O12" s="114"/>
      <c r="P12" s="44">
        <f>AVERAGEIF(D12:N12,"&lt;&gt;0")</f>
        <v>6.5</v>
      </c>
      <c r="Q12" s="111"/>
      <c r="R12" s="111"/>
      <c r="S12" s="111"/>
    </row>
    <row r="13" spans="1:19" x14ac:dyDescent="0.55000000000000004">
      <c r="A13" s="103">
        <v>4</v>
      </c>
      <c r="B13" s="106" t="s">
        <v>4</v>
      </c>
      <c r="C13" s="40" t="s">
        <v>7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2</v>
      </c>
      <c r="J13" s="48">
        <v>0</v>
      </c>
      <c r="K13" s="48">
        <v>0</v>
      </c>
      <c r="L13" s="48">
        <v>0</v>
      </c>
      <c r="M13" s="48">
        <v>2</v>
      </c>
      <c r="N13" s="48">
        <v>0</v>
      </c>
      <c r="O13" s="112">
        <v>100</v>
      </c>
      <c r="P13" s="41"/>
      <c r="Q13" s="109">
        <f>(P15/25)*100</f>
        <v>8</v>
      </c>
      <c r="R13" s="109">
        <f>O13-Q13</f>
        <v>92</v>
      </c>
      <c r="S13" s="109">
        <v>1</v>
      </c>
    </row>
    <row r="14" spans="1:19" x14ac:dyDescent="0.55000000000000004">
      <c r="A14" s="104"/>
      <c r="B14" s="107"/>
      <c r="C14" s="42" t="s">
        <v>8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1</v>
      </c>
      <c r="J14" s="45">
        <v>0</v>
      </c>
      <c r="K14" s="45">
        <v>0</v>
      </c>
      <c r="L14" s="45">
        <v>0</v>
      </c>
      <c r="M14" s="45">
        <v>1</v>
      </c>
      <c r="N14" s="45">
        <v>0</v>
      </c>
      <c r="O14" s="113"/>
      <c r="P14" s="43"/>
      <c r="Q14" s="110"/>
      <c r="R14" s="110"/>
      <c r="S14" s="110"/>
    </row>
    <row r="15" spans="1:19" ht="29.1" thickBot="1" x14ac:dyDescent="0.6">
      <c r="A15" s="105"/>
      <c r="B15" s="108"/>
      <c r="C15" s="59" t="s">
        <v>50</v>
      </c>
      <c r="D15" s="60">
        <f>PRODUCT(D13:D14)</f>
        <v>0</v>
      </c>
      <c r="E15" s="60">
        <f t="shared" ref="E15:N15" si="7">PRODUCT(E13:E14)</f>
        <v>0</v>
      </c>
      <c r="F15" s="60">
        <f t="shared" si="7"/>
        <v>0</v>
      </c>
      <c r="G15" s="60">
        <f t="shared" si="7"/>
        <v>0</v>
      </c>
      <c r="H15" s="60">
        <f t="shared" si="7"/>
        <v>0</v>
      </c>
      <c r="I15" s="60">
        <f t="shared" si="7"/>
        <v>2</v>
      </c>
      <c r="J15" s="60">
        <f t="shared" si="7"/>
        <v>0</v>
      </c>
      <c r="K15" s="60">
        <f t="shared" si="7"/>
        <v>0</v>
      </c>
      <c r="L15" s="60">
        <f t="shared" si="7"/>
        <v>0</v>
      </c>
      <c r="M15" s="60">
        <f t="shared" si="7"/>
        <v>2</v>
      </c>
      <c r="N15" s="60">
        <f t="shared" si="7"/>
        <v>0</v>
      </c>
      <c r="O15" s="114"/>
      <c r="P15" s="44">
        <f>AVERAGEIF(D15:N15,"&lt;&gt;0")</f>
        <v>2</v>
      </c>
      <c r="Q15" s="111"/>
      <c r="R15" s="111"/>
      <c r="S15" s="111"/>
    </row>
    <row r="16" spans="1:19" x14ac:dyDescent="0.55000000000000004"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</sheetData>
  <mergeCells count="26">
    <mergeCell ref="O7:O9"/>
    <mergeCell ref="O10:O12"/>
    <mergeCell ref="O13:O15"/>
    <mergeCell ref="S13:S15"/>
    <mergeCell ref="O4:O6"/>
    <mergeCell ref="A13:A15"/>
    <mergeCell ref="B13:B15"/>
    <mergeCell ref="S10:S12"/>
    <mergeCell ref="S4:S6"/>
    <mergeCell ref="A7:A9"/>
    <mergeCell ref="B7:B9"/>
    <mergeCell ref="S7:S9"/>
    <mergeCell ref="A10:A12"/>
    <mergeCell ref="B10:B12"/>
    <mergeCell ref="Q7:Q9"/>
    <mergeCell ref="Q10:Q12"/>
    <mergeCell ref="Q13:Q15"/>
    <mergeCell ref="R4:R6"/>
    <mergeCell ref="R7:R9"/>
    <mergeCell ref="R10:R12"/>
    <mergeCell ref="R13:R15"/>
    <mergeCell ref="A1:B2"/>
    <mergeCell ref="D1:N2"/>
    <mergeCell ref="A4:A6"/>
    <mergeCell ref="B4:B6"/>
    <mergeCell ref="Q4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COLLECTION SHEET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Maroline</dc:creator>
  <cp:lastModifiedBy>Maroline</cp:lastModifiedBy>
  <dcterms:created xsi:type="dcterms:W3CDTF">2015-06-05T18:17:20Z</dcterms:created>
  <dcterms:modified xsi:type="dcterms:W3CDTF">2026-09-16T11:51:05Z</dcterms:modified>
</cp:coreProperties>
</file>